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56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<sst xmlns="http://schemas.openxmlformats.org/spreadsheetml/2006/main" count="72" uniqueCount="53">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</sst>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F26" sqref="F26"/>
    </sheetView>
  </sheetViews>
  <sheetFormatPr defaultColWidth="9" defaultRowHeight="16.8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t="str">
        <f>VLOOKUP(C2,KhoaHoc!$A$2:$C$8,2,0)</f>
        <v>Tieng Anh thieu nhi</v>
      </c>
      <c r="F2">
        <f>VLOOKUP(C2,KhoaHoc!$A$2:$C$8,3,0)</f>
        <v>900000</v>
      </c>
      <c r="G2">
        <f>F2*D2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VLOOKUP(C3,KhoaHoc!$A$2:$C$8,2,0)</f>
        <v>IELTS 6.5</v>
      </c>
      <c r="F3">
        <f>VLOOKUP(C3,KhoaHoc!$A$2:$C$8,3,0)</f>
        <v>2500000</v>
      </c>
      <c r="G3">
        <f t="shared" ref="G3:G16" si="0">F3*D3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VLOOKUP(C4,KhoaHoc!$A$2:$C$8,2,0)</f>
        <v>Luyen phong van</v>
      </c>
      <c r="F4">
        <f>VLOOKUP(C4,KhoaHoc!$A$2:$C$8,3,0)</f>
        <v>3000000</v>
      </c>
      <c r="G4">
        <f t="shared" si="0"/>
        <v>9000000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t="str">
        <f>VLOOKUP(C5,KhoaHoc!$A$2:$C$8,2,0)</f>
        <v>Giao tiep nang cao</v>
      </c>
      <c r="F5">
        <f>VLOOKUP(C5,KhoaHoc!$A$2:$C$8,3,0)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VLOOKUP(C6,KhoaHoc!$A$2:$C$8,2,0)</f>
        <v>Giao tiep nang cao</v>
      </c>
      <c r="F6">
        <f>VLOOKUP(C6,KhoaHoc!$A$2:$C$8,3,0)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VLOOKUP(C7,KhoaHoc!$A$2:$C$8,2,0)</f>
        <v>IELTS 5.0</v>
      </c>
      <c r="F7">
        <f>VLOOKUP(C7,KhoaHoc!$A$2:$C$8,3,0)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VLOOKUP(C8,KhoaHoc!$A$2:$C$8,2,0)</f>
        <v>TOEIC 550</v>
      </c>
      <c r="F8">
        <f>VLOOKUP(C8,KhoaHoc!$A$2:$C$8,3,0)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VLOOKUP(C9,KhoaHoc!$A$2:$C$8,2,0)</f>
        <v>Luyen phong van</v>
      </c>
      <c r="F9">
        <f>VLOOKUP(C9,KhoaHoc!$A$2:$C$8,3,0)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VLOOKUP(C10,KhoaHoc!$A$2:$C$8,2,0)</f>
        <v>IELTS 6.5</v>
      </c>
      <c r="F10">
        <f>VLOOKUP(C10,KhoaHoc!$A$2:$C$8,3,0)</f>
        <v>2500000</v>
      </c>
      <c r="G10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t="str">
        <f>VLOOKUP(C11,KhoaHoc!$A$2:$C$8,2,0)</f>
        <v>IELTS 6.5</v>
      </c>
      <c r="F11">
        <f>VLOOKUP(C11,KhoaHoc!$A$2:$C$8,3,0)</f>
        <v>2500000</v>
      </c>
      <c r="G1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t="str">
        <f>VLOOKUP(C12,KhoaHoc!$A$2:$C$8,2,0)</f>
        <v>Tieng Anh thieu nhi</v>
      </c>
      <c r="F12">
        <f>VLOOKUP(C12,KhoaHoc!$A$2:$C$8,3,0)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>VLOOKUP(C13,KhoaHoc!$A$2:$C$8,2,0)</f>
        <v>Giao tiep co ban</v>
      </c>
      <c r="F13">
        <f>VLOOKUP(C13,KhoaHoc!$A$2:$C$8,3,0)</f>
        <v>1200000</v>
      </c>
      <c r="G13">
        <f t="shared" si="0"/>
        <v>4800000</v>
      </c>
    </row>
    <row r="14" hidden="1" spans="1:7">
      <c r="A14" t="s">
        <v>38</v>
      </c>
      <c r="B14" t="s">
        <v>39</v>
      </c>
      <c r="C14" t="s">
        <v>26</v>
      </c>
      <c r="D14">
        <v>3</v>
      </c>
      <c r="E14" t="str">
        <f>VLOOKUP(C14,KhoaHoc!$A$2:$C$8,2,0)</f>
        <v>TOEIC 550</v>
      </c>
      <c r="F14">
        <f>VLOOKUP(C14,KhoaHoc!$A$2:$C$8,3,0)</f>
        <v>1800000</v>
      </c>
      <c r="G14">
        <f t="shared" si="0"/>
        <v>5400000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t="str">
        <f>VLOOKUP(C15,KhoaHoc!$A$2:$C$8,2,0)</f>
        <v>IELTS 6.5</v>
      </c>
      <c r="F15">
        <f>VLOOKUP(C15,KhoaHoc!$A$2:$C$8,3,0)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VLOOKUP(C16,KhoaHoc!$A$2:$C$8,2,0)</f>
        <v>IELTS 6.5</v>
      </c>
      <c r="F16">
        <f>VLOOKUP(C16,KhoaHoc!$A$2:$C$8,3,0)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filters>
        <filter val="10000000"/>
        <filter val="6000000"/>
        <filter val="7200000"/>
        <filter val="7500000"/>
        <filter val="8000000"/>
        <filter val="90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3" sqref="E3"/>
    </sheetView>
  </sheetViews>
  <sheetFormatPr defaultColWidth="9" defaultRowHeight="16.8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VLOOKUP(E2,$A$2:$C$8,3,0)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QuangHưng Đặng</cp:lastModifiedBy>
  <dcterms:created xsi:type="dcterms:W3CDTF">2026-10-19T18:04:00Z</dcterms:created>
  <dcterms:modified xsi:type="dcterms:W3CDTF">2026-10-22T23:15:28Z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06ACDC39581924913A36DA6A4DF50932_42</vt:lpwstr>
  </property>
  <property fmtid="{D5CDD505-2E9C-101B-9397-08002B2CF9AE}" pid="3" name="KSOProductBuildVer">
    <vt:lpwstr>1033-12.1.29181.29181</vt:lpwstr>
  </property>
  <property fmtid="{D5CDD505-2E9C-101B-9397-08002B2CF9AE}" pid="4" name="CalculationRule">
    <vt:i4>0</vt:i4>
  </property>
</Properties>
</file>